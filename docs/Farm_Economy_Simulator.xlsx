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w To Use" sheetId="1" state="visible" r:id="rId3"/>
    <sheet name="Inputs" sheetId="2" state="visible" r:id="rId4"/>
    <sheet name="Season Plan" sheetId="3" state="visible" r:id="rId5"/>
    <sheet name="Crop Value" sheetId="4" state="visible" r:id="rId6"/>
    <sheet name="Player Scal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6" authorId="0">
      <text>
        <r>
          <rPr>
            <sz val="10"/>
            <rFont val="Arial"/>
            <family val="2"/>
          </rPr>
          <t xml:space="preserve">A crop planted on day D with Grows-in G is harvested on day D+G.</t>
        </r>
      </text>
    </comment>
    <comment ref="B44" authorId="0">
      <text>
        <r>
          <rPr>
            <sz val="10"/>
            <rFont val="Arial"/>
            <family val="2"/>
          </rPr>
          <t xml:space="preserve">Field plots in use + moonflowers planted + traps to clear x labor per trap (Inputs).</t>
        </r>
      </text>
    </comment>
  </commentList>
</comments>
</file>

<file path=xl/sharedStrings.xml><?xml version="1.0" encoding="utf-8"?>
<sst xmlns="http://schemas.openxmlformats.org/spreadsheetml/2006/main" count="147" uniqueCount="138">
  <si>
    <t xml:space="preserve">Farm Economy Simulator</t>
  </si>
  <si>
    <t xml:space="preserve">Tests the money side of the Farming Horror Game design doc: crops, plots, labor, debt payments, medical bills and the corn quota.</t>
  </si>
  <si>
    <t xml:space="preserve">Color key</t>
  </si>
  <si>
    <t xml:space="preserve">Blue text on yellow = inputs you can change. Black = formulas. Green = values pulled from another sheet.</t>
  </si>
  <si>
    <t xml:space="preserve">Sheets</t>
  </si>
  <si>
    <t xml:space="preserve">Inputs - every number from the design doc (crop prices, debt, medical bill, scaling, trap ramp). Change these to tune the game.</t>
  </si>
  <si>
    <t xml:space="preserve">Season Plan - plan a 7-day season: how many plots of each crop to plant each day, corn held for the cart, deaths each night. The Status row flags any day that breaks a rule, and the summary at the top says whether the season is won.</t>
  </si>
  <si>
    <t xml:space="preserve">Crop Value - profit per plot per day for each crop, to compare crops at a glance.</t>
  </si>
  <si>
    <t xml:space="preserve">Player Scaling - what 2, 3 and 4 players can do against what they owe.</t>
  </si>
  <si>
    <t xml:space="preserve">Assumptions (the design doc doesn't pin these down)</t>
  </si>
  <si>
    <t xml:space="preserve">1. 'Grows in 1 day' means plant today, harvest and sell tomorrow. Change Grows-in days on Inputs to test other readings.</t>
  </si>
  <si>
    <t xml:space="preserve">2. Moonflowers are planted by day in the 4-plot bed, harvested that night and sold at dawn, so they count toward a payment due that dawn.</t>
  </si>
  <si>
    <t xml:space="preserve">3. A harvested plot can be replanted the same day. Crops planted on day 7 that aren't ready by then earn nothing.</t>
  </si>
  <si>
    <t xml:space="preserve">4. Labor: each field plot with a crop in it, each moonflower planted, and each trap to clear costs labor. Labor per trap starts at 0 (the doc's 'about 6 plots a day' may already include sweeps); raise it to test busier days.</t>
  </si>
  <si>
    <t xml:space="preserve">5. Corn held for the festival cart is paid at the festival price at dawn after night 7, before the final payment. Set the festival price to 0 if the cart corn isn't paid.</t>
  </si>
  <si>
    <t xml:space="preserve">6. Payments, trap counts and disturbances scale with team size (70% / 85% / 100%). The moonflower bed and medical bill don't scale, as in the doc.</t>
  </si>
  <si>
    <t xml:space="preserve">Sample plan</t>
  </si>
  <si>
    <t xml:space="preserve">The Season Plan opens with the best-case turnip rush: all plots on turnips days 1-3, moonflowers from day 3, then 8 corn on day 4 for the cart. With 4 players and no deaths it misses the first payment, which is the problem this sheet was built to show. Set Players to 2 on Inputs to compare (then fix the 'Not enough hands' days).</t>
  </si>
  <si>
    <t xml:space="preserve">Inputs</t>
  </si>
  <si>
    <t xml:space="preserve">Starting values from Farming_Horror_Game_Concept.md unless noted. Change the blue cells.</t>
  </si>
  <si>
    <t xml:space="preserve">Crops (coins per plot)</t>
  </si>
  <si>
    <t xml:space="preserve">Crop</t>
  </si>
  <si>
    <t xml:space="preserve">Grows in (days)</t>
  </si>
  <si>
    <t xml:space="preserve">Seed cost</t>
  </si>
  <si>
    <t xml:space="preserve">Sells for</t>
  </si>
  <si>
    <t xml:space="preserve">Unlocks on day</t>
  </si>
  <si>
    <t xml:space="preserve">Notes</t>
  </si>
  <si>
    <t xml:space="preserve">Turnips</t>
  </si>
  <si>
    <t xml:space="preserve">Short and safe. Low value, steady money.</t>
  </si>
  <si>
    <t xml:space="preserve">Pumpkins</t>
  </si>
  <si>
    <t xml:space="preserve">Low and sprawling.</t>
  </si>
  <si>
    <t xml:space="preserve">Corn</t>
  </si>
  <si>
    <t xml:space="preserve">Tall from day 2. Needed for the festival.</t>
  </si>
  <si>
    <t xml:space="preserve">Moonflowers</t>
  </si>
  <si>
    <t xml:space="preserve">Grows in 1 night; harvested that night in the 4-plot bed. Grows-in is not used.</t>
  </si>
  <si>
    <t xml:space="preserve">Farm and team</t>
  </si>
  <si>
    <t xml:space="preserve">Players on team (2-4)</t>
  </si>
  <si>
    <t xml:space="preserve">Change this to test 2 or 3 players.</t>
  </si>
  <si>
    <t xml:space="preserve">Field plots</t>
  </si>
  <si>
    <t xml:space="preserve">Starts at 16; upgrades add up to 24.</t>
  </si>
  <si>
    <t xml:space="preserve">Moonflower bed plots</t>
  </si>
  <si>
    <t xml:space="preserve">Separate from the field plots.</t>
  </si>
  <si>
    <t xml:space="preserve">Plots one player tends per day</t>
  </si>
  <si>
    <t xml:space="preserve">Doc: 'one player tends about 6 plots a day'.</t>
  </si>
  <si>
    <t xml:space="preserve">Labor per trap cleared (plot-equivalents)</t>
  </si>
  <si>
    <t xml:space="preserve">Assumption. 0 = trap sweeps are already inside the 6-plot figure.</t>
  </si>
  <si>
    <t xml:space="preserve">Bank and festival</t>
  </si>
  <si>
    <t xml:space="preserve">Starting coins</t>
  </si>
  <si>
    <t xml:space="preserve">Total debt</t>
  </si>
  <si>
    <t xml:space="preserve">First payment</t>
  </si>
  <si>
    <t xml:space="preserve">Scaled by team size (see below).</t>
  </si>
  <si>
    <t xml:space="preserve">First payment due at dawn after night</t>
  </si>
  <si>
    <t xml:space="preserve">Final payment (debt minus first payment)</t>
  </si>
  <si>
    <t xml:space="preserve">Due at dawn after night 7 (the Harvest Moon).</t>
  </si>
  <si>
    <t xml:space="preserve">Festival pays per corn plot on the cart</t>
  </si>
  <si>
    <t xml:space="preserve">Assumption: doc says the festival buys corn but gives no price. Set 0 if unpaid.</t>
  </si>
  <si>
    <t xml:space="preserve">Corn quota (plots on the cart)</t>
  </si>
  <si>
    <t xml:space="preserve">Medical bill</t>
  </si>
  <si>
    <t xml:space="preserve">Per death</t>
  </si>
  <si>
    <t xml:space="preserve">First death each night</t>
  </si>
  <si>
    <t xml:space="preserve">Cap per night</t>
  </si>
  <si>
    <t xml:space="preserve">Bill never takes the bank below</t>
  </si>
  <si>
    <t xml:space="preserve">The price of a turnip seed pack.</t>
  </si>
  <si>
    <t xml:space="preserve">Team-size scaling (payments, traps, disturbances)</t>
  </si>
  <si>
    <t xml:space="preserve">Players</t>
  </si>
  <si>
    <t xml:space="preserve">Scale</t>
  </si>
  <si>
    <t xml:space="preserve">Active scale for this team</t>
  </si>
  <si>
    <t xml:space="preserve">Looked up from Players on team.</t>
  </si>
  <si>
    <t xml:space="preserve">Ramp-up, 4 players (traps set each night are cleared the next day)</t>
  </si>
  <si>
    <t xml:space="preserve">Day</t>
  </si>
  <si>
    <t xml:space="preserve">Daytime disturbances</t>
  </si>
  <si>
    <t xml:space="preserve">Bear traps set that night</t>
  </si>
  <si>
    <t xml:space="preserve">Pits set that night</t>
  </si>
  <si>
    <t xml:space="preserve">Night 7 is the Harvest Moon; no traps matter after it.</t>
  </si>
  <si>
    <t xml:space="preserve">Season Plan</t>
  </si>
  <si>
    <t xml:space="preserve">Edit the blue cells in 'Your plan'. Everything else calculates. Coins throughout.</t>
  </si>
  <si>
    <t xml:space="preserve">Season summary</t>
  </si>
  <si>
    <t xml:space="preserve">Players on team</t>
  </si>
  <si>
    <t xml:space="preserve">First payment (scaled for team size)</t>
  </si>
  <si>
    <t xml:space="preserve">Final payment (scaled for team size)</t>
  </si>
  <si>
    <t xml:space="preserve">Final payment</t>
  </si>
  <si>
    <t xml:space="preserve">Corn quota</t>
  </si>
  <si>
    <t xml:space="preserve">Days with a problem</t>
  </si>
  <si>
    <t xml:space="preserve">Season result</t>
  </si>
  <si>
    <t xml:space="preserve">Moonflowers' share of all income</t>
  </si>
  <si>
    <t xml:space="preserve">Your plan (plots)</t>
  </si>
  <si>
    <t xml:space="preserve">Turnips planted</t>
  </si>
  <si>
    <t xml:space="preserve">Pumpkins planted</t>
  </si>
  <si>
    <t xml:space="preserve">Corn planted</t>
  </si>
  <si>
    <t xml:space="preserve">Moonflowers planted (bed)</t>
  </si>
  <si>
    <t xml:space="preserve">Corn held for the festival cart</t>
  </si>
  <si>
    <t xml:space="preserve">Deaths that night</t>
  </si>
  <si>
    <t xml:space="preserve">Daytime</t>
  </si>
  <si>
    <t xml:space="preserve">Cash at start of day</t>
  </si>
  <si>
    <t xml:space="preserve">Turnips harvested</t>
  </si>
  <si>
    <t xml:space="preserve">Pumpkins harvested</t>
  </si>
  <si>
    <t xml:space="preserve">Corn harvested</t>
  </si>
  <si>
    <t xml:space="preserve">Stand sales</t>
  </si>
  <si>
    <t xml:space="preserve">Seed costs</t>
  </si>
  <si>
    <t xml:space="preserve">Cash after the day</t>
  </si>
  <si>
    <t xml:space="preserve">Night and dawn</t>
  </si>
  <si>
    <t xml:space="preserve">Moonflower sales at dawn</t>
  </si>
  <si>
    <t xml:space="preserve">Festival cart payout</t>
  </si>
  <si>
    <t xml:space="preserve">Bank payment due</t>
  </si>
  <si>
    <t xml:space="preserve">Cash at dawn</t>
  </si>
  <si>
    <t xml:space="preserve">Checks</t>
  </si>
  <si>
    <t xml:space="preserve">Field plots in use</t>
  </si>
  <si>
    <t xml:space="preserve">Field plots available</t>
  </si>
  <si>
    <t xml:space="preserve">Traps to clear today</t>
  </si>
  <si>
    <t xml:space="preserve">Labor needed (plot-equivalents)</t>
  </si>
  <si>
    <t xml:space="preserve">Labor available</t>
  </si>
  <si>
    <t xml:space="preserve">Status</t>
  </si>
  <si>
    <t xml:space="preserve">Crop Value</t>
  </si>
  <si>
    <t xml:space="preserve">Which crop earns the most from one plot. All values pull from Inputs.</t>
  </si>
  <si>
    <t xml:space="preserve">Profit per harvest</t>
  </si>
  <si>
    <t xml:space="preserve">Return on seed</t>
  </si>
  <si>
    <t xml:space="preserve">Profit per plot per day</t>
  </si>
  <si>
    <t xml:space="preserve">Rank</t>
  </si>
  <si>
    <t xml:space="preserve">Note</t>
  </si>
  <si>
    <t xml:space="preserve">Ties up a plot 3 days and costs the most cash up front.</t>
  </si>
  <si>
    <t xml:space="preserve">Only 4 plots, but every night from day 3. Counted per night.</t>
  </si>
  <si>
    <t xml:space="preserve">Player Scaling</t>
  </si>
  <si>
    <t xml:space="preserve">What each team size can do against what it owes. Pulls from Inputs.</t>
  </si>
  <si>
    <t xml:space="preserve">2 players</t>
  </si>
  <si>
    <t xml:space="preserve">3 players</t>
  </si>
  <si>
    <t xml:space="preserve">4 players</t>
  </si>
  <si>
    <t xml:space="preserve">Payments and traps scale; plots and moonflowers don't.</t>
  </si>
  <si>
    <t xml:space="preserve">Labor available per day</t>
  </si>
  <si>
    <t xml:space="preserve">Field plots the team can tend (after the moonflower bed)</t>
  </si>
  <si>
    <t xml:space="preserve">Labor minus 4 for the bed, capped at field plots.</t>
  </si>
  <si>
    <t xml:space="preserve">Turnip profit per day from those plots</t>
  </si>
  <si>
    <t xml:space="preserve">Moonflower profit per night</t>
  </si>
  <si>
    <t xml:space="preserve">Same for every team size.</t>
  </si>
  <si>
    <t xml:space="preserve">Total owed</t>
  </si>
  <si>
    <t xml:space="preserve">Moonflower nights in a season</t>
  </si>
  <si>
    <t xml:space="preserve">Every night from the unlock day to night 7.</t>
  </si>
  <si>
    <t xml:space="preserve">Share of total debt moonflowers can cover</t>
  </si>
  <si>
    <t xml:space="preserve">Above 100% means the day crops barely matter.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</si>
</sst>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#,##0;\-#,##0;\-"/>
    <numFmt numFmtId="167" formatCode="0%"/>
    <numFmt numFmtId="168" formatCode="General"/>
    <numFmt numFmtId="169" formatCode="0.0%;\-0.0%;\-"/>
    <numFmt numFmtId="170" formatCode="#,##0.0"/>
    <numFmt numFmtId="171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E5D5"/>
        <bgColor rgb="FFD9EAD3"/>
      </patternFill>
    </fill>
    <fill>
      <patternFill patternType="solid">
        <fgColor rgb="FF2F4F2F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EAD3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C7C3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4C7C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26.85" hidden="false" customHeight="false" outlineLevel="0" collapsed="false">
      <c r="A8" s="5" t="s">
        <v>5</v>
      </c>
    </row>
    <row r="9" customFormat="false" ht="39.5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26.85" hidden="false" customHeight="false" outlineLevel="0" collapsed="false">
      <c r="A14" s="5" t="s">
        <v>10</v>
      </c>
    </row>
    <row r="15" customFormat="false" ht="26.8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26.85" hidden="false" customHeight="false" outlineLevel="0" collapsed="false">
      <c r="A17" s="5" t="s">
        <v>13</v>
      </c>
    </row>
    <row r="18" customFormat="false" ht="26.85" hidden="false" customHeight="false" outlineLevel="0" collapsed="false">
      <c r="A18" s="5" t="s">
        <v>14</v>
      </c>
    </row>
    <row r="19" customFormat="false" ht="26.85" hidden="false" customHeight="false" outlineLevel="0" collapsed="false">
      <c r="A19" s="5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39.55" hidden="false" customHeight="false" outlineLevel="0" collapsed="false">
      <c r="A22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6" t="s">
        <v>18</v>
      </c>
    </row>
    <row r="2" customFormat="false" ht="15" hidden="false" customHeight="false" outlineLevel="0" collapsed="false">
      <c r="A2" s="7" t="s">
        <v>19</v>
      </c>
    </row>
    <row r="3" customFormat="false" ht="15" hidden="false" customHeight="false" outlineLevel="0" collapsed="false">
      <c r="A3" s="8" t="s">
        <v>20</v>
      </c>
      <c r="B3" s="9"/>
      <c r="C3" s="9"/>
      <c r="D3" s="9"/>
      <c r="E3" s="9"/>
      <c r="F3" s="9"/>
    </row>
    <row r="4" customFormat="false" ht="26.85" hidden="false" customHeight="false" outlineLevel="0" collapsed="false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</row>
    <row r="5" customFormat="false" ht="15" hidden="false" customHeight="false" outlineLevel="0" collapsed="false">
      <c r="A5" s="11" t="s">
        <v>27</v>
      </c>
      <c r="B5" s="12" t="n">
        <v>1</v>
      </c>
      <c r="C5" s="12" t="n">
        <v>4</v>
      </c>
      <c r="D5" s="12" t="n">
        <v>10</v>
      </c>
      <c r="E5" s="12" t="n">
        <v>1</v>
      </c>
      <c r="F5" s="7" t="s">
        <v>28</v>
      </c>
    </row>
    <row r="6" customFormat="false" ht="15" hidden="false" customHeight="false" outlineLevel="0" collapsed="false">
      <c r="A6" s="11" t="s">
        <v>29</v>
      </c>
      <c r="B6" s="12" t="n">
        <v>2</v>
      </c>
      <c r="C6" s="12" t="n">
        <v>10</v>
      </c>
      <c r="D6" s="12" t="n">
        <v>25</v>
      </c>
      <c r="E6" s="12" t="n">
        <v>2</v>
      </c>
      <c r="F6" s="7" t="s">
        <v>30</v>
      </c>
    </row>
    <row r="7" customFormat="false" ht="15" hidden="false" customHeight="false" outlineLevel="0" collapsed="false">
      <c r="A7" s="11" t="s">
        <v>31</v>
      </c>
      <c r="B7" s="12" t="n">
        <v>3</v>
      </c>
      <c r="C7" s="12" t="n">
        <v>15</v>
      </c>
      <c r="D7" s="12" t="n">
        <v>45</v>
      </c>
      <c r="E7" s="12" t="n">
        <v>1</v>
      </c>
      <c r="F7" s="7" t="s">
        <v>32</v>
      </c>
    </row>
    <row r="8" customFormat="false" ht="15" hidden="false" customHeight="false" outlineLevel="0" collapsed="false">
      <c r="A8" s="11" t="s">
        <v>33</v>
      </c>
      <c r="B8" s="12" t="n">
        <v>1</v>
      </c>
      <c r="C8" s="12" t="n">
        <v>25</v>
      </c>
      <c r="D8" s="12" t="n">
        <v>70</v>
      </c>
      <c r="E8" s="12" t="n">
        <v>3</v>
      </c>
      <c r="F8" s="7" t="s">
        <v>34</v>
      </c>
    </row>
    <row r="10" customFormat="false" ht="15" hidden="false" customHeight="false" outlineLevel="0" collapsed="false">
      <c r="A10" s="8" t="s">
        <v>35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A11" s="11" t="s">
        <v>36</v>
      </c>
      <c r="B11" s="12" t="n">
        <v>4</v>
      </c>
      <c r="F11" s="7" t="s">
        <v>37</v>
      </c>
    </row>
    <row r="12" customFormat="false" ht="15" hidden="false" customHeight="false" outlineLevel="0" collapsed="false">
      <c r="A12" s="11" t="s">
        <v>38</v>
      </c>
      <c r="B12" s="12" t="n">
        <v>16</v>
      </c>
      <c r="F12" s="7" t="s">
        <v>39</v>
      </c>
    </row>
    <row r="13" customFormat="false" ht="15" hidden="false" customHeight="false" outlineLevel="0" collapsed="false">
      <c r="A13" s="11" t="s">
        <v>40</v>
      </c>
      <c r="B13" s="12" t="n">
        <v>4</v>
      </c>
      <c r="F13" s="7" t="s">
        <v>41</v>
      </c>
    </row>
    <row r="14" customFormat="false" ht="15" hidden="false" customHeight="false" outlineLevel="0" collapsed="false">
      <c r="A14" s="11" t="s">
        <v>42</v>
      </c>
      <c r="B14" s="12" t="n">
        <v>6</v>
      </c>
      <c r="F14" s="7" t="s">
        <v>43</v>
      </c>
    </row>
    <row r="15" customFormat="false" ht="15" hidden="false" customHeight="false" outlineLevel="0" collapsed="false">
      <c r="A15" s="11" t="s">
        <v>44</v>
      </c>
      <c r="B15" s="13" t="n">
        <v>0</v>
      </c>
      <c r="F15" s="7" t="s">
        <v>45</v>
      </c>
    </row>
    <row r="17" customFormat="false" ht="15" hidden="false" customHeight="false" outlineLevel="0" collapsed="false">
      <c r="A17" s="8" t="s">
        <v>46</v>
      </c>
      <c r="B17" s="9"/>
      <c r="C17" s="9"/>
      <c r="D17" s="9"/>
      <c r="E17" s="9"/>
      <c r="F17" s="9"/>
    </row>
    <row r="18" customFormat="false" ht="15" hidden="false" customHeight="false" outlineLevel="0" collapsed="false">
      <c r="A18" s="11" t="s">
        <v>47</v>
      </c>
      <c r="B18" s="14" t="n">
        <v>60</v>
      </c>
    </row>
    <row r="19" customFormat="false" ht="15" hidden="false" customHeight="false" outlineLevel="0" collapsed="false">
      <c r="A19" s="11" t="s">
        <v>48</v>
      </c>
      <c r="B19" s="14" t="n">
        <v>1200</v>
      </c>
    </row>
    <row r="20" customFormat="false" ht="15" hidden="false" customHeight="false" outlineLevel="0" collapsed="false">
      <c r="A20" s="11" t="s">
        <v>49</v>
      </c>
      <c r="B20" s="14" t="n">
        <v>400</v>
      </c>
      <c r="F20" s="7" t="s">
        <v>50</v>
      </c>
    </row>
    <row r="21" customFormat="false" ht="15" hidden="false" customHeight="false" outlineLevel="0" collapsed="false">
      <c r="A21" s="11" t="s">
        <v>51</v>
      </c>
      <c r="B21" s="12" t="n">
        <v>3</v>
      </c>
    </row>
    <row r="22" customFormat="false" ht="15" hidden="false" customHeight="false" outlineLevel="0" collapsed="false">
      <c r="A22" s="11" t="s">
        <v>52</v>
      </c>
      <c r="B22" s="15" t="n">
        <f aca="false">B19-B20</f>
        <v>800</v>
      </c>
      <c r="F22" s="7" t="s">
        <v>53</v>
      </c>
    </row>
    <row r="23" customFormat="false" ht="15" hidden="false" customHeight="false" outlineLevel="0" collapsed="false">
      <c r="A23" s="11" t="s">
        <v>54</v>
      </c>
      <c r="B23" s="14" t="n">
        <v>45</v>
      </c>
      <c r="F23" s="7" t="s">
        <v>55</v>
      </c>
    </row>
    <row r="24" customFormat="false" ht="15" hidden="false" customHeight="false" outlineLevel="0" collapsed="false">
      <c r="A24" s="11" t="s">
        <v>56</v>
      </c>
      <c r="B24" s="12" t="n">
        <v>8</v>
      </c>
    </row>
    <row r="26" customFormat="false" ht="15" hidden="false" customHeight="false" outlineLevel="0" collapsed="false">
      <c r="A26" s="8" t="s">
        <v>57</v>
      </c>
      <c r="B26" s="9"/>
      <c r="C26" s="9"/>
      <c r="D26" s="9"/>
      <c r="E26" s="9"/>
      <c r="F26" s="9"/>
    </row>
    <row r="27" customFormat="false" ht="15" hidden="false" customHeight="false" outlineLevel="0" collapsed="false">
      <c r="A27" s="11" t="s">
        <v>58</v>
      </c>
      <c r="B27" s="14" t="n">
        <v>50</v>
      </c>
    </row>
    <row r="28" customFormat="false" ht="15" hidden="false" customHeight="false" outlineLevel="0" collapsed="false">
      <c r="A28" s="11" t="s">
        <v>59</v>
      </c>
      <c r="B28" s="14" t="n">
        <v>25</v>
      </c>
    </row>
    <row r="29" customFormat="false" ht="15" hidden="false" customHeight="false" outlineLevel="0" collapsed="false">
      <c r="A29" s="11" t="s">
        <v>60</v>
      </c>
      <c r="B29" s="14" t="n">
        <v>120</v>
      </c>
    </row>
    <row r="30" customFormat="false" ht="15" hidden="false" customHeight="false" outlineLevel="0" collapsed="false">
      <c r="A30" s="11" t="s">
        <v>61</v>
      </c>
      <c r="B30" s="14" t="n">
        <v>4</v>
      </c>
      <c r="F30" s="7" t="s">
        <v>62</v>
      </c>
    </row>
    <row r="32" customFormat="false" ht="15" hidden="false" customHeight="false" outlineLevel="0" collapsed="false">
      <c r="A32" s="8" t="s">
        <v>63</v>
      </c>
      <c r="B32" s="9"/>
      <c r="C32" s="9"/>
      <c r="D32" s="9"/>
      <c r="E32" s="9"/>
      <c r="F32" s="9"/>
    </row>
    <row r="33" customFormat="false" ht="15" hidden="false" customHeight="false" outlineLevel="0" collapsed="false">
      <c r="A33" s="10" t="s">
        <v>64</v>
      </c>
      <c r="B33" s="10" t="s">
        <v>65</v>
      </c>
    </row>
    <row r="34" customFormat="false" ht="15" hidden="false" customHeight="false" outlineLevel="0" collapsed="false">
      <c r="A34" s="16" t="n">
        <v>2</v>
      </c>
      <c r="B34" s="17" t="n">
        <v>0.7</v>
      </c>
    </row>
    <row r="35" customFormat="false" ht="15" hidden="false" customHeight="false" outlineLevel="0" collapsed="false">
      <c r="A35" s="16" t="n">
        <v>3</v>
      </c>
      <c r="B35" s="17" t="n">
        <v>0.85</v>
      </c>
    </row>
    <row r="36" customFormat="false" ht="15" hidden="false" customHeight="false" outlineLevel="0" collapsed="false">
      <c r="A36" s="16" t="n">
        <v>4</v>
      </c>
      <c r="B36" s="17" t="n">
        <v>1</v>
      </c>
    </row>
    <row r="37" customFormat="false" ht="15" hidden="false" customHeight="false" outlineLevel="0" collapsed="false">
      <c r="A37" s="18" t="s">
        <v>66</v>
      </c>
      <c r="B37" s="19" t="n">
        <f aca="false">IFERROR(INDEX(B34:B36,MATCH(B11,A34:A36,0)),1)</f>
        <v>1</v>
      </c>
      <c r="F37" s="7" t="s">
        <v>67</v>
      </c>
    </row>
    <row r="39" customFormat="false" ht="15" hidden="false" customHeight="false" outlineLevel="0" collapsed="false">
      <c r="A39" s="8" t="s">
        <v>68</v>
      </c>
      <c r="B39" s="9"/>
      <c r="C39" s="9"/>
      <c r="D39" s="9"/>
      <c r="E39" s="9"/>
      <c r="F39" s="9"/>
    </row>
    <row r="40" customFormat="false" ht="26.85" hidden="false" customHeight="false" outlineLevel="0" collapsed="false">
      <c r="A40" s="10" t="s">
        <v>69</v>
      </c>
      <c r="B40" s="10" t="s">
        <v>70</v>
      </c>
      <c r="C40" s="10" t="s">
        <v>71</v>
      </c>
      <c r="D40" s="10" t="s">
        <v>72</v>
      </c>
    </row>
    <row r="41" customFormat="false" ht="15" hidden="false" customHeight="false" outlineLevel="0" collapsed="false">
      <c r="A41" s="16" t="n">
        <v>1</v>
      </c>
      <c r="B41" s="12" t="n">
        <v>1</v>
      </c>
      <c r="C41" s="12" t="n">
        <v>2</v>
      </c>
      <c r="D41" s="12" t="n">
        <v>1</v>
      </c>
    </row>
    <row r="42" customFormat="false" ht="15" hidden="false" customHeight="false" outlineLevel="0" collapsed="false">
      <c r="A42" s="16" t="n">
        <v>2</v>
      </c>
      <c r="B42" s="12" t="n">
        <v>1</v>
      </c>
      <c r="C42" s="12" t="n">
        <v>2</v>
      </c>
      <c r="D42" s="12" t="n">
        <v>2</v>
      </c>
    </row>
    <row r="43" customFormat="false" ht="15" hidden="false" customHeight="false" outlineLevel="0" collapsed="false">
      <c r="A43" s="16" t="n">
        <v>3</v>
      </c>
      <c r="B43" s="12" t="n">
        <v>2</v>
      </c>
      <c r="C43" s="12" t="n">
        <v>3</v>
      </c>
      <c r="D43" s="12" t="n">
        <v>2</v>
      </c>
    </row>
    <row r="44" customFormat="false" ht="15" hidden="false" customHeight="false" outlineLevel="0" collapsed="false">
      <c r="A44" s="16" t="n">
        <v>4</v>
      </c>
      <c r="B44" s="12" t="n">
        <v>2</v>
      </c>
      <c r="C44" s="12" t="n">
        <v>3</v>
      </c>
      <c r="D44" s="12" t="n">
        <v>3</v>
      </c>
    </row>
    <row r="45" customFormat="false" ht="15" hidden="false" customHeight="false" outlineLevel="0" collapsed="false">
      <c r="A45" s="16" t="n">
        <v>5</v>
      </c>
      <c r="B45" s="12" t="n">
        <v>3</v>
      </c>
      <c r="C45" s="12" t="n">
        <v>4</v>
      </c>
      <c r="D45" s="12" t="n">
        <v>3</v>
      </c>
    </row>
    <row r="46" customFormat="false" ht="15" hidden="false" customHeight="false" outlineLevel="0" collapsed="false">
      <c r="A46" s="16" t="n">
        <v>6</v>
      </c>
      <c r="B46" s="12" t="n">
        <v>3</v>
      </c>
      <c r="C46" s="12" t="n">
        <v>5</v>
      </c>
      <c r="D46" s="12" t="n">
        <v>4</v>
      </c>
    </row>
    <row r="47" customFormat="false" ht="15" hidden="false" customHeight="false" outlineLevel="0" collapsed="false">
      <c r="A47" s="16" t="n">
        <v>7</v>
      </c>
      <c r="B47" s="12" t="n">
        <v>4</v>
      </c>
      <c r="C47" s="12" t="n">
        <v>0</v>
      </c>
      <c r="D47" s="12" t="n">
        <v>0</v>
      </c>
      <c r="F47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5"/>
  </cols>
  <sheetData>
    <row r="1" customFormat="false" ht="17.35" hidden="false" customHeight="false" outlineLevel="0" collapsed="false">
      <c r="B1" s="6" t="s">
        <v>74</v>
      </c>
    </row>
    <row r="2" customFormat="false" ht="15" hidden="false" customHeight="false" outlineLevel="0" collapsed="false">
      <c r="B2" s="7" t="s">
        <v>75</v>
      </c>
    </row>
    <row r="4" customFormat="false" ht="15" hidden="false" customHeight="false" outlineLevel="0" collapsed="false">
      <c r="B4" s="8" t="s">
        <v>76</v>
      </c>
      <c r="C4" s="9"/>
      <c r="D4" s="9"/>
    </row>
    <row r="5" customFormat="false" ht="15" hidden="false" customHeight="false" outlineLevel="0" collapsed="false">
      <c r="B5" s="11" t="s">
        <v>77</v>
      </c>
      <c r="C5" s="20" t="n">
        <f aca="false">Inputs!$B$11</f>
        <v>4</v>
      </c>
      <c r="D5" s="20"/>
      <c r="E5" s="20"/>
    </row>
    <row r="6" customFormat="false" ht="15" hidden="false" customHeight="false" outlineLevel="0" collapsed="false">
      <c r="B6" s="11" t="s">
        <v>78</v>
      </c>
      <c r="C6" s="21" t="n">
        <f aca="false">Inputs!$B$20*Inputs!$B$37</f>
        <v>400</v>
      </c>
      <c r="D6" s="21"/>
      <c r="E6" s="21"/>
    </row>
    <row r="7" customFormat="false" ht="15" hidden="false" customHeight="false" outlineLevel="0" collapsed="false">
      <c r="B7" s="11" t="s">
        <v>79</v>
      </c>
      <c r="C7" s="21" t="n">
        <f aca="false">Inputs!$B$22*Inputs!$B$37</f>
        <v>800</v>
      </c>
      <c r="D7" s="21"/>
      <c r="E7" s="21"/>
    </row>
    <row r="8" customFormat="false" ht="15" hidden="false" customHeight="false" outlineLevel="0" collapsed="false">
      <c r="B8" s="11" t="s">
        <v>49</v>
      </c>
      <c r="C8" s="22" t="str">
        <f aca="false">IF(INDEX($C$38:$I$38,Inputs!$B$21)&gt;=0,"Made, "&amp;TEXT(INDEX($C$38:$I$38,Inputs!$B$21),"#,##0")&amp;" left","MISSED by "&amp;TEXT(-INDEX($C$38:$I$38,Inputs!$B$21),"#,##0"))</f>
        <v>MISSED by 38</v>
      </c>
      <c r="D8" s="22"/>
      <c r="E8" s="22"/>
    </row>
    <row r="9" customFormat="false" ht="15" hidden="false" customHeight="false" outlineLevel="0" collapsed="false">
      <c r="B9" s="11" t="s">
        <v>80</v>
      </c>
      <c r="C9" s="22" t="str">
        <f aca="false">IF(I38&gt;=0,"Made, "&amp;TEXT(I38,"#,##0")&amp;" left","MISSED by "&amp;TEXT(-I38,"#,##0"))</f>
        <v>Made, 426 left</v>
      </c>
      <c r="D9" s="22"/>
      <c r="E9" s="22"/>
    </row>
    <row r="10" customFormat="false" ht="15" hidden="false" customHeight="false" outlineLevel="0" collapsed="false">
      <c r="B10" s="11" t="s">
        <v>81</v>
      </c>
      <c r="C10" s="22" t="str">
        <f aca="false">IF(SUM($C$21:$I$21)&gt;=Inputs!$B$24,"Met ("&amp;SUM($C$21:$I$21)&amp;" plots)","Short by "&amp;(Inputs!$B$24-SUM($C$21:$I$21))&amp;" plots")</f>
        <v>Met (8 plots)</v>
      </c>
      <c r="D10" s="22"/>
      <c r="E10" s="22"/>
    </row>
    <row r="11" customFormat="false" ht="15" hidden="false" customHeight="false" outlineLevel="0" collapsed="false">
      <c r="B11" s="11" t="s">
        <v>82</v>
      </c>
      <c r="C11" s="22" t="n">
        <f aca="false">COUNTIF($C$46:$I$46,"&lt;&gt;OK")</f>
        <v>2</v>
      </c>
      <c r="D11" s="22"/>
      <c r="E11" s="22"/>
    </row>
    <row r="12" customFormat="false" ht="15" hidden="false" customHeight="false" outlineLevel="0" collapsed="false">
      <c r="B12" s="11" t="s">
        <v>83</v>
      </c>
      <c r="C12" s="23" t="str">
        <f aca="false">IF(AND(INDEX($C$38:$I$38,Inputs!$B$21)&gt;=0,I38&gt;=0,SUM($C$21:$I$21)&gt;=Inputs!$B$24,COUNTIF($C$46:$I$46,"&lt;&gt;OK")=0),"WIN (if anyone survives the Harvest Moon)","LOSS")</f>
        <v>LOSS</v>
      </c>
      <c r="D12" s="23"/>
      <c r="E12" s="23"/>
    </row>
    <row r="13" customFormat="false" ht="15" hidden="false" customHeight="false" outlineLevel="0" collapsed="false">
      <c r="B13" s="11" t="s">
        <v>84</v>
      </c>
      <c r="C13" s="24" t="n">
        <f aca="false">IFERROR(SUM($C$34:$I$34)/(SUM($C$29:$I$29)+SUM($C$34:$I$34)+SUM($C$36:$I$36)),0)</f>
        <v>0.566801619433198</v>
      </c>
      <c r="D13" s="24"/>
      <c r="E13" s="24"/>
    </row>
    <row r="15" customFormat="false" ht="15" hidden="false" customHeight="false" outlineLevel="0" collapsed="false">
      <c r="B15" s="25" t="s">
        <v>69</v>
      </c>
      <c r="C15" s="26" t="n">
        <v>1</v>
      </c>
      <c r="D15" s="26" t="n">
        <v>2</v>
      </c>
      <c r="E15" s="26" t="n">
        <v>3</v>
      </c>
      <c r="F15" s="26" t="n">
        <v>4</v>
      </c>
      <c r="G15" s="26" t="n">
        <v>5</v>
      </c>
      <c r="H15" s="26" t="n">
        <v>6</v>
      </c>
      <c r="I15" s="26" t="n">
        <v>7</v>
      </c>
    </row>
    <row r="16" customFormat="false" ht="15" hidden="false" customHeight="false" outlineLevel="0" collapsed="false">
      <c r="B16" s="8" t="s">
        <v>85</v>
      </c>
      <c r="C16" s="9"/>
      <c r="D16" s="9"/>
      <c r="E16" s="9"/>
      <c r="F16" s="9"/>
      <c r="G16" s="9"/>
      <c r="H16" s="9"/>
      <c r="I16" s="9"/>
    </row>
    <row r="17" customFormat="false" ht="15" hidden="false" customHeight="false" outlineLevel="0" collapsed="false">
      <c r="B17" s="11" t="s">
        <v>86</v>
      </c>
      <c r="C17" s="27" t="n">
        <v>15</v>
      </c>
      <c r="D17" s="27" t="n">
        <v>16</v>
      </c>
      <c r="E17" s="27" t="n">
        <v>16</v>
      </c>
      <c r="F17" s="27" t="n">
        <v>8</v>
      </c>
      <c r="G17" s="27" t="n">
        <v>8</v>
      </c>
      <c r="H17" s="27" t="n">
        <v>8</v>
      </c>
      <c r="I17" s="27" t="n">
        <v>0</v>
      </c>
    </row>
    <row r="18" customFormat="false" ht="15" hidden="false" customHeight="false" outlineLevel="0" collapsed="false">
      <c r="B18" s="11" t="s">
        <v>87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</row>
    <row r="19" customFormat="false" ht="15" hidden="false" customHeight="false" outlineLevel="0" collapsed="false">
      <c r="B19" s="11" t="s">
        <v>88</v>
      </c>
      <c r="C19" s="27" t="n">
        <v>0</v>
      </c>
      <c r="D19" s="27" t="n">
        <v>0</v>
      </c>
      <c r="E19" s="27" t="n">
        <v>0</v>
      </c>
      <c r="F19" s="27" t="n">
        <v>8</v>
      </c>
      <c r="G19" s="27" t="n">
        <v>0</v>
      </c>
      <c r="H19" s="27" t="n">
        <v>0</v>
      </c>
      <c r="I19" s="27" t="n">
        <v>0</v>
      </c>
    </row>
    <row r="20" customFormat="false" ht="15" hidden="false" customHeight="false" outlineLevel="0" collapsed="false">
      <c r="B20" s="11" t="s">
        <v>89</v>
      </c>
      <c r="C20" s="27" t="n">
        <v>0</v>
      </c>
      <c r="D20" s="27" t="n">
        <v>0</v>
      </c>
      <c r="E20" s="27" t="n">
        <v>4</v>
      </c>
      <c r="F20" s="27" t="n">
        <v>4</v>
      </c>
      <c r="G20" s="27" t="n">
        <v>4</v>
      </c>
      <c r="H20" s="27" t="n">
        <v>4</v>
      </c>
      <c r="I20" s="27" t="n">
        <v>4</v>
      </c>
    </row>
    <row r="21" customFormat="false" ht="15" hidden="false" customHeight="false" outlineLevel="0" collapsed="false">
      <c r="B21" s="11" t="s">
        <v>90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8</v>
      </c>
    </row>
    <row r="22" customFormat="false" ht="15" hidden="false" customHeight="false" outlineLevel="0" collapsed="false">
      <c r="B22" s="11" t="s">
        <v>91</v>
      </c>
      <c r="C22" s="27" t="n">
        <v>0</v>
      </c>
      <c r="D22" s="27" t="n">
        <v>0</v>
      </c>
      <c r="E22" s="27" t="n">
        <v>0</v>
      </c>
      <c r="F22" s="27" t="n">
        <v>0</v>
      </c>
      <c r="G22" s="27" t="n">
        <v>0</v>
      </c>
      <c r="H22" s="27" t="n">
        <v>0</v>
      </c>
      <c r="I22" s="27" t="n">
        <v>0</v>
      </c>
    </row>
    <row r="24" customFormat="false" ht="15" hidden="false" customHeight="false" outlineLevel="0" collapsed="false">
      <c r="B24" s="8" t="s">
        <v>92</v>
      </c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B25" s="11" t="s">
        <v>93</v>
      </c>
      <c r="C25" s="28" t="n">
        <f aca="false">Inputs!$B$18</f>
        <v>60</v>
      </c>
      <c r="D25" s="29" t="n">
        <f aca="false">C38</f>
        <v>0</v>
      </c>
      <c r="E25" s="29" t="n">
        <f aca="false">D38</f>
        <v>86</v>
      </c>
      <c r="F25" s="29" t="n">
        <f aca="false">E38</f>
        <v>-38</v>
      </c>
      <c r="G25" s="29" t="n">
        <f aca="false">F38</f>
        <v>150</v>
      </c>
      <c r="H25" s="29" t="n">
        <f aca="false">G38</f>
        <v>378</v>
      </c>
      <c r="I25" s="29" t="n">
        <f aca="false">H38</f>
        <v>606</v>
      </c>
    </row>
    <row r="26" customFormat="false" ht="15" hidden="false" customHeight="false" outlineLevel="0" collapsed="false">
      <c r="B26" s="11" t="s">
        <v>94</v>
      </c>
      <c r="C26" s="16" t="n">
        <f aca="false">SUMPRODUCT($C$17:$I$17*(($C$15:$I$15+Inputs!$B$5)=C$15))</f>
        <v>0</v>
      </c>
      <c r="D26" s="16" t="n">
        <f aca="false">SUMPRODUCT($C$17:$I$17*(($C$15:$I$15+Inputs!$B$5)=D$15))</f>
        <v>15</v>
      </c>
      <c r="E26" s="16" t="n">
        <f aca="false">SUMPRODUCT($C$17:$I$17*(($C$15:$I$15+Inputs!$B$5)=E$15))</f>
        <v>16</v>
      </c>
      <c r="F26" s="16" t="n">
        <f aca="false">SUMPRODUCT($C$17:$I$17*(($C$15:$I$15+Inputs!$B$5)=F$15))</f>
        <v>16</v>
      </c>
      <c r="G26" s="16" t="n">
        <f aca="false">SUMPRODUCT($C$17:$I$17*(($C$15:$I$15+Inputs!$B$5)=G$15))</f>
        <v>8</v>
      </c>
      <c r="H26" s="16" t="n">
        <f aca="false">SUMPRODUCT($C$17:$I$17*(($C$15:$I$15+Inputs!$B$5)=H$15))</f>
        <v>8</v>
      </c>
      <c r="I26" s="16" t="n">
        <f aca="false">SUMPRODUCT($C$17:$I$17*(($C$15:$I$15+Inputs!$B$5)=I$15))</f>
        <v>8</v>
      </c>
    </row>
    <row r="27" customFormat="false" ht="15" hidden="false" customHeight="false" outlineLevel="0" collapsed="false">
      <c r="B27" s="11" t="s">
        <v>95</v>
      </c>
      <c r="C27" s="16" t="n">
        <f aca="false">SUMPRODUCT($C$18:$I$18*(($C$15:$I$15+Inputs!$B$6)=C$15))</f>
        <v>0</v>
      </c>
      <c r="D27" s="16" t="n">
        <f aca="false">SUMPRODUCT($C$18:$I$18*(($C$15:$I$15+Inputs!$B$6)=D$15))</f>
        <v>0</v>
      </c>
      <c r="E27" s="16" t="n">
        <f aca="false">SUMPRODUCT($C$18:$I$18*(($C$15:$I$15+Inputs!$B$6)=E$15))</f>
        <v>0</v>
      </c>
      <c r="F27" s="16" t="n">
        <f aca="false">SUMPRODUCT($C$18:$I$18*(($C$15:$I$15+Inputs!$B$6)=F$15))</f>
        <v>0</v>
      </c>
      <c r="G27" s="16" t="n">
        <f aca="false">SUMPRODUCT($C$18:$I$18*(($C$15:$I$15+Inputs!$B$6)=G$15))</f>
        <v>0</v>
      </c>
      <c r="H27" s="16" t="n">
        <f aca="false">SUMPRODUCT($C$18:$I$18*(($C$15:$I$15+Inputs!$B$6)=H$15))</f>
        <v>0</v>
      </c>
      <c r="I27" s="16" t="n">
        <f aca="false">SUMPRODUCT($C$18:$I$18*(($C$15:$I$15+Inputs!$B$6)=I$15))</f>
        <v>0</v>
      </c>
    </row>
    <row r="28" customFormat="false" ht="15" hidden="false" customHeight="false" outlineLevel="0" collapsed="false">
      <c r="B28" s="11" t="s">
        <v>96</v>
      </c>
      <c r="C28" s="16" t="n">
        <f aca="false">SUMPRODUCT($C$19:$I$19*(($C$15:$I$15+Inputs!$B$7)=C$15))</f>
        <v>0</v>
      </c>
      <c r="D28" s="16" t="n">
        <f aca="false">SUMPRODUCT($C$19:$I$19*(($C$15:$I$15+Inputs!$B$7)=D$15))</f>
        <v>0</v>
      </c>
      <c r="E28" s="16" t="n">
        <f aca="false">SUMPRODUCT($C$19:$I$19*(($C$15:$I$15+Inputs!$B$7)=E$15))</f>
        <v>0</v>
      </c>
      <c r="F28" s="16" t="n">
        <f aca="false">SUMPRODUCT($C$19:$I$19*(($C$15:$I$15+Inputs!$B$7)=F$15))</f>
        <v>0</v>
      </c>
      <c r="G28" s="16" t="n">
        <f aca="false">SUMPRODUCT($C$19:$I$19*(($C$15:$I$15+Inputs!$B$7)=G$15))</f>
        <v>0</v>
      </c>
      <c r="H28" s="16" t="n">
        <f aca="false">SUMPRODUCT($C$19:$I$19*(($C$15:$I$15+Inputs!$B$7)=H$15))</f>
        <v>0</v>
      </c>
      <c r="I28" s="16" t="n">
        <f aca="false">SUMPRODUCT($C$19:$I$19*(($C$15:$I$15+Inputs!$B$7)=I$15))</f>
        <v>8</v>
      </c>
    </row>
    <row r="29" customFormat="false" ht="15" hidden="false" customHeight="false" outlineLevel="0" collapsed="false">
      <c r="B29" s="11" t="s">
        <v>97</v>
      </c>
      <c r="C29" s="29" t="n">
        <f aca="false">C26*Inputs!$D$5+C27*Inputs!$D$6+(C28-C21)*Inputs!$D$7</f>
        <v>0</v>
      </c>
      <c r="D29" s="29" t="n">
        <f aca="false">D26*Inputs!$D$5+D27*Inputs!$D$6+(D28-D21)*Inputs!$D$7</f>
        <v>150</v>
      </c>
      <c r="E29" s="29" t="n">
        <f aca="false">E26*Inputs!$D$5+E27*Inputs!$D$6+(E28-E21)*Inputs!$D$7</f>
        <v>160</v>
      </c>
      <c r="F29" s="29" t="n">
        <f aca="false">F26*Inputs!$D$5+F27*Inputs!$D$6+(F28-F21)*Inputs!$D$7</f>
        <v>160</v>
      </c>
      <c r="G29" s="29" t="n">
        <f aca="false">G26*Inputs!$D$5+G27*Inputs!$D$6+(G28-G21)*Inputs!$D$7</f>
        <v>80</v>
      </c>
      <c r="H29" s="29" t="n">
        <f aca="false">H26*Inputs!$D$5+H27*Inputs!$D$6+(H28-H21)*Inputs!$D$7</f>
        <v>80</v>
      </c>
      <c r="I29" s="29" t="n">
        <f aca="false">I26*Inputs!$D$5+I27*Inputs!$D$6+(I28-I21)*Inputs!$D$7</f>
        <v>80</v>
      </c>
    </row>
    <row r="30" customFormat="false" ht="15" hidden="false" customHeight="false" outlineLevel="0" collapsed="false">
      <c r="B30" s="11" t="s">
        <v>98</v>
      </c>
      <c r="C30" s="29" t="n">
        <f aca="false">C17*Inputs!$C$5+C18*Inputs!$C$6+C19*Inputs!$C$7+C20*Inputs!$C$8</f>
        <v>60</v>
      </c>
      <c r="D30" s="29" t="n">
        <f aca="false">D17*Inputs!$C$5+D18*Inputs!$C$6+D19*Inputs!$C$7+D20*Inputs!$C$8</f>
        <v>64</v>
      </c>
      <c r="E30" s="29" t="n">
        <f aca="false">E17*Inputs!$C$5+E18*Inputs!$C$6+E19*Inputs!$C$7+E20*Inputs!$C$8</f>
        <v>164</v>
      </c>
      <c r="F30" s="29" t="n">
        <f aca="false">F17*Inputs!$C$5+F18*Inputs!$C$6+F19*Inputs!$C$7+F20*Inputs!$C$8</f>
        <v>252</v>
      </c>
      <c r="G30" s="29" t="n">
        <f aca="false">G17*Inputs!$C$5+G18*Inputs!$C$6+G19*Inputs!$C$7+G20*Inputs!$C$8</f>
        <v>132</v>
      </c>
      <c r="H30" s="29" t="n">
        <f aca="false">H17*Inputs!$C$5+H18*Inputs!$C$6+H19*Inputs!$C$7+H20*Inputs!$C$8</f>
        <v>132</v>
      </c>
      <c r="I30" s="29" t="n">
        <f aca="false">I17*Inputs!$C$5+I18*Inputs!$C$6+I19*Inputs!$C$7+I20*Inputs!$C$8</f>
        <v>100</v>
      </c>
    </row>
    <row r="31" customFormat="false" ht="15" hidden="false" customHeight="false" outlineLevel="0" collapsed="false">
      <c r="B31" s="18" t="s">
        <v>99</v>
      </c>
      <c r="C31" s="30" t="n">
        <f aca="false">C25+C29-C30</f>
        <v>0</v>
      </c>
      <c r="D31" s="30" t="n">
        <f aca="false">D25+D29-D30</f>
        <v>86</v>
      </c>
      <c r="E31" s="30" t="n">
        <f aca="false">E25+E29-E30</f>
        <v>82</v>
      </c>
      <c r="F31" s="30" t="n">
        <f aca="false">F25+F29-F30</f>
        <v>-130</v>
      </c>
      <c r="G31" s="30" t="n">
        <f aca="false">G25+G29-G30</f>
        <v>98</v>
      </c>
      <c r="H31" s="30" t="n">
        <f aca="false">H25+H29-H30</f>
        <v>326</v>
      </c>
      <c r="I31" s="30" t="n">
        <f aca="false">I25+I29-I30</f>
        <v>586</v>
      </c>
    </row>
    <row r="33" customFormat="false" ht="15" hidden="false" customHeight="false" outlineLevel="0" collapsed="false">
      <c r="B33" s="8" t="s">
        <v>100</v>
      </c>
      <c r="C33" s="9"/>
      <c r="D33" s="9"/>
      <c r="E33" s="9"/>
      <c r="F33" s="9"/>
      <c r="G33" s="9"/>
      <c r="H33" s="9"/>
      <c r="I33" s="9"/>
    </row>
    <row r="34" customFormat="false" ht="15" hidden="false" customHeight="false" outlineLevel="0" collapsed="false">
      <c r="B34" s="11" t="s">
        <v>101</v>
      </c>
      <c r="C34" s="29" t="n">
        <f aca="false">C20*Inputs!$D$8</f>
        <v>0</v>
      </c>
      <c r="D34" s="29" t="n">
        <f aca="false">D20*Inputs!$D$8</f>
        <v>0</v>
      </c>
      <c r="E34" s="29" t="n">
        <f aca="false">E20*Inputs!$D$8</f>
        <v>280</v>
      </c>
      <c r="F34" s="29" t="n">
        <f aca="false">F20*Inputs!$D$8</f>
        <v>280</v>
      </c>
      <c r="G34" s="29" t="n">
        <f aca="false">G20*Inputs!$D$8</f>
        <v>280</v>
      </c>
      <c r="H34" s="29" t="n">
        <f aca="false">H20*Inputs!$D$8</f>
        <v>280</v>
      </c>
      <c r="I34" s="29" t="n">
        <f aca="false">I20*Inputs!$D$8</f>
        <v>280</v>
      </c>
    </row>
    <row r="35" customFormat="false" ht="15" hidden="false" customHeight="false" outlineLevel="0" collapsed="false">
      <c r="B35" s="11" t="s">
        <v>57</v>
      </c>
      <c r="C35" s="29" t="n">
        <f aca="false">IF(C22&lt;=0,0,MIN(MIN(Inputs!$B$29,Inputs!$B$28+(C22-1)*Inputs!$B$27),MAX(0,C31+C34-Inputs!$B$30)))</f>
        <v>0</v>
      </c>
      <c r="D35" s="29" t="n">
        <f aca="false">IF(D22&lt;=0,0,MIN(MIN(Inputs!$B$29,Inputs!$B$28+(D22-1)*Inputs!$B$27),MAX(0,D31+D34-Inputs!$B$30)))</f>
        <v>0</v>
      </c>
      <c r="E35" s="29" t="n">
        <f aca="false">IF(E22&lt;=0,0,MIN(MIN(Inputs!$B$29,Inputs!$B$28+(E22-1)*Inputs!$B$27),MAX(0,E31+E34-Inputs!$B$30)))</f>
        <v>0</v>
      </c>
      <c r="F35" s="29" t="n">
        <f aca="false">IF(F22&lt;=0,0,MIN(MIN(Inputs!$B$29,Inputs!$B$28+(F22-1)*Inputs!$B$27),MAX(0,F31+F34-Inputs!$B$30)))</f>
        <v>0</v>
      </c>
      <c r="G35" s="29" t="n">
        <f aca="false">IF(G22&lt;=0,0,MIN(MIN(Inputs!$B$29,Inputs!$B$28+(G22-1)*Inputs!$B$27),MAX(0,G31+G34-Inputs!$B$30)))</f>
        <v>0</v>
      </c>
      <c r="H35" s="29" t="n">
        <f aca="false">IF(H22&lt;=0,0,MIN(MIN(Inputs!$B$29,Inputs!$B$28+(H22-1)*Inputs!$B$27),MAX(0,H31+H34-Inputs!$B$30)))</f>
        <v>0</v>
      </c>
      <c r="I35" s="29" t="n">
        <f aca="false">IF(I22&lt;=0,0,MIN(MIN(Inputs!$B$29,Inputs!$B$28+(I22-1)*Inputs!$B$27),MAX(0,I31+I34-Inputs!$B$30)))</f>
        <v>0</v>
      </c>
    </row>
    <row r="36" customFormat="false" ht="15" hidden="false" customHeight="false" outlineLevel="0" collapsed="false">
      <c r="B36" s="11" t="s">
        <v>102</v>
      </c>
      <c r="C36" s="29" t="n">
        <f aca="false">IF(C$15=7,SUM($C$21:$I$21)*Inputs!$B$23,0)</f>
        <v>0</v>
      </c>
      <c r="D36" s="29" t="n">
        <f aca="false">IF(D$15=7,SUM($C$21:$I$21)*Inputs!$B$23,0)</f>
        <v>0</v>
      </c>
      <c r="E36" s="29" t="n">
        <f aca="false">IF(E$15=7,SUM($C$21:$I$21)*Inputs!$B$23,0)</f>
        <v>0</v>
      </c>
      <c r="F36" s="29" t="n">
        <f aca="false">IF(F$15=7,SUM($C$21:$I$21)*Inputs!$B$23,0)</f>
        <v>0</v>
      </c>
      <c r="G36" s="29" t="n">
        <f aca="false">IF(G$15=7,SUM($C$21:$I$21)*Inputs!$B$23,0)</f>
        <v>0</v>
      </c>
      <c r="H36" s="29" t="n">
        <f aca="false">IF(H$15=7,SUM($C$21:$I$21)*Inputs!$B$23,0)</f>
        <v>0</v>
      </c>
      <c r="I36" s="29" t="n">
        <f aca="false">IF(I$15=7,SUM($C$21:$I$21)*Inputs!$B$23,0)</f>
        <v>360</v>
      </c>
    </row>
    <row r="37" customFormat="false" ht="15" hidden="false" customHeight="false" outlineLevel="0" collapsed="false">
      <c r="B37" s="11" t="s">
        <v>103</v>
      </c>
      <c r="C37" s="29" t="n">
        <f aca="false">IF(C$15=Inputs!$B$21,Inputs!$B$20*Inputs!$B$37,IF(C$15=7,Inputs!$B$22*Inputs!$B$37,0))</f>
        <v>0</v>
      </c>
      <c r="D37" s="29" t="n">
        <f aca="false">IF(D$15=Inputs!$B$21,Inputs!$B$20*Inputs!$B$37,IF(D$15=7,Inputs!$B$22*Inputs!$B$37,0))</f>
        <v>0</v>
      </c>
      <c r="E37" s="29" t="n">
        <f aca="false">IF(E$15=Inputs!$B$21,Inputs!$B$20*Inputs!$B$37,IF(E$15=7,Inputs!$B$22*Inputs!$B$37,0))</f>
        <v>400</v>
      </c>
      <c r="F37" s="29" t="n">
        <f aca="false">IF(F$15=Inputs!$B$21,Inputs!$B$20*Inputs!$B$37,IF(F$15=7,Inputs!$B$22*Inputs!$B$37,0))</f>
        <v>0</v>
      </c>
      <c r="G37" s="29" t="n">
        <f aca="false">IF(G$15=Inputs!$B$21,Inputs!$B$20*Inputs!$B$37,IF(G$15=7,Inputs!$B$22*Inputs!$B$37,0))</f>
        <v>0</v>
      </c>
      <c r="H37" s="29" t="n">
        <f aca="false">IF(H$15=Inputs!$B$21,Inputs!$B$20*Inputs!$B$37,IF(H$15=7,Inputs!$B$22*Inputs!$B$37,0))</f>
        <v>0</v>
      </c>
      <c r="I37" s="29" t="n">
        <f aca="false">IF(I$15=Inputs!$B$21,Inputs!$B$20*Inputs!$B$37,IF(I$15=7,Inputs!$B$22*Inputs!$B$37,0))</f>
        <v>800</v>
      </c>
    </row>
    <row r="38" customFormat="false" ht="15" hidden="false" customHeight="false" outlineLevel="0" collapsed="false">
      <c r="B38" s="18" t="s">
        <v>104</v>
      </c>
      <c r="C38" s="30" t="n">
        <f aca="false">C31+C34-C35+C36-C37</f>
        <v>0</v>
      </c>
      <c r="D38" s="30" t="n">
        <f aca="false">D31+D34-D35+D36-D37</f>
        <v>86</v>
      </c>
      <c r="E38" s="30" t="n">
        <f aca="false">E31+E34-E35+E36-E37</f>
        <v>-38</v>
      </c>
      <c r="F38" s="30" t="n">
        <f aca="false">F31+F34-F35+F36-F37</f>
        <v>150</v>
      </c>
      <c r="G38" s="30" t="n">
        <f aca="false">G31+G34-G35+G36-G37</f>
        <v>378</v>
      </c>
      <c r="H38" s="30" t="n">
        <f aca="false">H31+H34-H35+H36-H37</f>
        <v>606</v>
      </c>
      <c r="I38" s="30" t="n">
        <f aca="false">I31+I34-I35+I36-I37</f>
        <v>426</v>
      </c>
    </row>
    <row r="40" customFormat="false" ht="15" hidden="false" customHeight="false" outlineLevel="0" collapsed="false">
      <c r="B40" s="8" t="s">
        <v>105</v>
      </c>
      <c r="C40" s="9"/>
      <c r="D40" s="9"/>
      <c r="E40" s="9"/>
      <c r="F40" s="9"/>
      <c r="G40" s="9"/>
      <c r="H40" s="9"/>
      <c r="I40" s="9"/>
    </row>
    <row r="41" customFormat="false" ht="15" hidden="false" customHeight="false" outlineLevel="0" collapsed="false">
      <c r="B41" s="11" t="s">
        <v>106</v>
      </c>
      <c r="C41" s="16" t="n">
        <f aca="false">SUMPRODUCT($C$17:$I$17*($C$15:$I$15&lt;=C$15)*(($C$15:$I$15+Inputs!$B$5)&gt;C$15))+SUMPRODUCT($C$18:$I$18*($C$15:$I$15&lt;=C$15)*(($C$15:$I$15+Inputs!$B$6)&gt;C$15))+SUMPRODUCT($C$19:$I$19*($C$15:$I$15&lt;=C$15)*(($C$15:$I$15+Inputs!$B$7)&gt;C$15))</f>
        <v>15</v>
      </c>
      <c r="D41" s="16" t="n">
        <f aca="false">SUMPRODUCT($C$17:$I$17*($C$15:$I$15&lt;=D$15)*(($C$15:$I$15+Inputs!$B$5)&gt;D$15))+SUMPRODUCT($C$18:$I$18*($C$15:$I$15&lt;=D$15)*(($C$15:$I$15+Inputs!$B$6)&gt;D$15))+SUMPRODUCT($C$19:$I$19*($C$15:$I$15&lt;=D$15)*(($C$15:$I$15+Inputs!$B$7)&gt;D$15))</f>
        <v>16</v>
      </c>
      <c r="E41" s="16" t="n">
        <f aca="false">SUMPRODUCT($C$17:$I$17*($C$15:$I$15&lt;=E$15)*(($C$15:$I$15+Inputs!$B$5)&gt;E$15))+SUMPRODUCT($C$18:$I$18*($C$15:$I$15&lt;=E$15)*(($C$15:$I$15+Inputs!$B$6)&gt;E$15))+SUMPRODUCT($C$19:$I$19*($C$15:$I$15&lt;=E$15)*(($C$15:$I$15+Inputs!$B$7)&gt;E$15))</f>
        <v>16</v>
      </c>
      <c r="F41" s="16" t="n">
        <f aca="false">SUMPRODUCT($C$17:$I$17*($C$15:$I$15&lt;=F$15)*(($C$15:$I$15+Inputs!$B$5)&gt;F$15))+SUMPRODUCT($C$18:$I$18*($C$15:$I$15&lt;=F$15)*(($C$15:$I$15+Inputs!$B$6)&gt;F$15))+SUMPRODUCT($C$19:$I$19*($C$15:$I$15&lt;=F$15)*(($C$15:$I$15+Inputs!$B$7)&gt;F$15))</f>
        <v>16</v>
      </c>
      <c r="G41" s="16" t="n">
        <f aca="false">SUMPRODUCT($C$17:$I$17*($C$15:$I$15&lt;=G$15)*(($C$15:$I$15+Inputs!$B$5)&gt;G$15))+SUMPRODUCT($C$18:$I$18*($C$15:$I$15&lt;=G$15)*(($C$15:$I$15+Inputs!$B$6)&gt;G$15))+SUMPRODUCT($C$19:$I$19*($C$15:$I$15&lt;=G$15)*(($C$15:$I$15+Inputs!$B$7)&gt;G$15))</f>
        <v>16</v>
      </c>
      <c r="H41" s="16" t="n">
        <f aca="false">SUMPRODUCT($C$17:$I$17*($C$15:$I$15&lt;=H$15)*(($C$15:$I$15+Inputs!$B$5)&gt;H$15))+SUMPRODUCT($C$18:$I$18*($C$15:$I$15&lt;=H$15)*(($C$15:$I$15+Inputs!$B$6)&gt;H$15))+SUMPRODUCT($C$19:$I$19*($C$15:$I$15&lt;=H$15)*(($C$15:$I$15+Inputs!$B$7)&gt;H$15))</f>
        <v>16</v>
      </c>
      <c r="I41" s="16" t="n">
        <f aca="false">SUMPRODUCT($C$17:$I$17*($C$15:$I$15&lt;=I$15)*(($C$15:$I$15+Inputs!$B$5)&gt;I$15))+SUMPRODUCT($C$18:$I$18*($C$15:$I$15&lt;=I$15)*(($C$15:$I$15+Inputs!$B$6)&gt;I$15))+SUMPRODUCT($C$19:$I$19*($C$15:$I$15&lt;=I$15)*(($C$15:$I$15+Inputs!$B$7)&gt;I$15))</f>
        <v>0</v>
      </c>
    </row>
    <row r="42" customFormat="false" ht="15" hidden="false" customHeight="false" outlineLevel="0" collapsed="false">
      <c r="B42" s="11" t="s">
        <v>107</v>
      </c>
      <c r="C42" s="31" t="n">
        <f aca="false">Inputs!$B$12</f>
        <v>16</v>
      </c>
      <c r="D42" s="31" t="n">
        <f aca="false">Inputs!$B$12</f>
        <v>16</v>
      </c>
      <c r="E42" s="31" t="n">
        <f aca="false">Inputs!$B$12</f>
        <v>16</v>
      </c>
      <c r="F42" s="31" t="n">
        <f aca="false">Inputs!$B$12</f>
        <v>16</v>
      </c>
      <c r="G42" s="31" t="n">
        <f aca="false">Inputs!$B$12</f>
        <v>16</v>
      </c>
      <c r="H42" s="31" t="n">
        <f aca="false">Inputs!$B$12</f>
        <v>16</v>
      </c>
      <c r="I42" s="31" t="n">
        <f aca="false">Inputs!$B$12</f>
        <v>16</v>
      </c>
    </row>
    <row r="43" customFormat="false" ht="15" hidden="false" customHeight="false" outlineLevel="0" collapsed="false">
      <c r="B43" s="11" t="s">
        <v>108</v>
      </c>
      <c r="C43" s="16" t="n">
        <f aca="false">0</f>
        <v>0</v>
      </c>
      <c r="D43" s="16" t="n">
        <f aca="false">ROUND((INDEX(Inputs!$C$41:$C$47,D$15-1)+INDEX(Inputs!$D$41:$D$47,D$15-1))*Inputs!$B$37,0)</f>
        <v>3</v>
      </c>
      <c r="E43" s="16" t="n">
        <f aca="false">ROUND((INDEX(Inputs!$C$41:$C$47,E$15-1)+INDEX(Inputs!$D$41:$D$47,E$15-1))*Inputs!$B$37,0)</f>
        <v>4</v>
      </c>
      <c r="F43" s="16" t="n">
        <f aca="false">ROUND((INDEX(Inputs!$C$41:$C$47,F$15-1)+INDEX(Inputs!$D$41:$D$47,F$15-1))*Inputs!$B$37,0)</f>
        <v>5</v>
      </c>
      <c r="G43" s="16" t="n">
        <f aca="false">ROUND((INDEX(Inputs!$C$41:$C$47,G$15-1)+INDEX(Inputs!$D$41:$D$47,G$15-1))*Inputs!$B$37,0)</f>
        <v>6</v>
      </c>
      <c r="H43" s="16" t="n">
        <f aca="false">ROUND((INDEX(Inputs!$C$41:$C$47,H$15-1)+INDEX(Inputs!$D$41:$D$47,H$15-1))*Inputs!$B$37,0)</f>
        <v>7</v>
      </c>
      <c r="I43" s="16" t="n">
        <f aca="false">ROUND((INDEX(Inputs!$C$41:$C$47,I$15-1)+INDEX(Inputs!$D$41:$D$47,I$15-1))*Inputs!$B$37,0)</f>
        <v>9</v>
      </c>
    </row>
    <row r="44" customFormat="false" ht="15" hidden="false" customHeight="false" outlineLevel="0" collapsed="false">
      <c r="B44" s="11" t="s">
        <v>109</v>
      </c>
      <c r="C44" s="16" t="n">
        <f aca="false">C41+C20+C43*Inputs!$B$15</f>
        <v>15</v>
      </c>
      <c r="D44" s="16" t="n">
        <f aca="false">D41+D20+D43*Inputs!$B$15</f>
        <v>16</v>
      </c>
      <c r="E44" s="16" t="n">
        <f aca="false">E41+E20+E43*Inputs!$B$15</f>
        <v>20</v>
      </c>
      <c r="F44" s="16" t="n">
        <f aca="false">F41+F20+F43*Inputs!$B$15</f>
        <v>20</v>
      </c>
      <c r="G44" s="16" t="n">
        <f aca="false">G41+G20+G43*Inputs!$B$15</f>
        <v>20</v>
      </c>
      <c r="H44" s="16" t="n">
        <f aca="false">H41+H20+H43*Inputs!$B$15</f>
        <v>20</v>
      </c>
      <c r="I44" s="16" t="n">
        <f aca="false">I41+I20+I43*Inputs!$B$15</f>
        <v>4</v>
      </c>
    </row>
    <row r="45" customFormat="false" ht="15" hidden="false" customHeight="false" outlineLevel="0" collapsed="false">
      <c r="B45" s="11" t="s">
        <v>110</v>
      </c>
      <c r="C45" s="31" t="n">
        <f aca="false">Inputs!$B$11*Inputs!$B$14</f>
        <v>24</v>
      </c>
      <c r="D45" s="31" t="n">
        <f aca="false">Inputs!$B$11*Inputs!$B$14</f>
        <v>24</v>
      </c>
      <c r="E45" s="31" t="n">
        <f aca="false">Inputs!$B$11*Inputs!$B$14</f>
        <v>24</v>
      </c>
      <c r="F45" s="31" t="n">
        <f aca="false">Inputs!$B$11*Inputs!$B$14</f>
        <v>24</v>
      </c>
      <c r="G45" s="31" t="n">
        <f aca="false">Inputs!$B$11*Inputs!$B$14</f>
        <v>24</v>
      </c>
      <c r="H45" s="31" t="n">
        <f aca="false">Inputs!$B$11*Inputs!$B$14</f>
        <v>24</v>
      </c>
      <c r="I45" s="31" t="n">
        <f aca="false">Inputs!$B$11*Inputs!$B$14</f>
        <v>24</v>
      </c>
    </row>
    <row r="46" customFormat="false" ht="15" hidden="false" customHeight="false" outlineLevel="0" collapsed="false">
      <c r="B46" s="18" t="s">
        <v>111</v>
      </c>
      <c r="C46" s="32" t="str">
        <f aca="false">IF(AND(C37&gt;0,C38&lt;0),"PAYMENT MISSED",IF(C31&lt;0,"Can't afford seeds",IF(C41&gt;C42,"Too many plots",IF(C20&gt;Inputs!$B$13,"Moonflower bed full",IF(C44&gt;C45,"Not enough hands",IF(OR(AND(C17&gt;0,C$15&lt;Inputs!$E$5),AND(C18&gt;0,C$15&lt;Inputs!$E$6),AND(C19&gt;0,C$15&lt;Inputs!$E$7),AND(C20&gt;0,C$15&lt;Inputs!$E$8)),"Crop not unlocked yet",IF(SUM($C21:C21)&gt;SUM($C28:C28),"Holding corn you don't have","OK")))))))</f>
        <v>OK</v>
      </c>
      <c r="D46" s="32" t="str">
        <f aca="false">IF(AND(D37&gt;0,D38&lt;0),"PAYMENT MISSED",IF(D31&lt;0,"Can't afford seeds",IF(D41&gt;D42,"Too many plots",IF(D20&gt;Inputs!$B$13,"Moonflower bed full",IF(D44&gt;D45,"Not enough hands",IF(OR(AND(D17&gt;0,D$15&lt;Inputs!$E$5),AND(D18&gt;0,D$15&lt;Inputs!$E$6),AND(D19&gt;0,D$15&lt;Inputs!$E$7),AND(D20&gt;0,D$15&lt;Inputs!$E$8)),"Crop not unlocked yet",IF(SUM($C21:D21)&gt;SUM($C28:D28),"Holding corn you don't have","OK")))))))</f>
        <v>OK</v>
      </c>
      <c r="E46" s="32" t="str">
        <f aca="false">IF(AND(E37&gt;0,E38&lt;0),"PAYMENT MISSED",IF(E31&lt;0,"Can't afford seeds",IF(E41&gt;E42,"Too many plots",IF(E20&gt;Inputs!$B$13,"Moonflower bed full",IF(E44&gt;E45,"Not enough hands",IF(OR(AND(E17&gt;0,E$15&lt;Inputs!$E$5),AND(E18&gt;0,E$15&lt;Inputs!$E$6),AND(E19&gt;0,E$15&lt;Inputs!$E$7),AND(E20&gt;0,E$15&lt;Inputs!$E$8)),"Crop not unlocked yet",IF(SUM($C21:E21)&gt;SUM($C28:E28),"Holding corn you don't have","OK")))))))</f>
        <v>PAYMENT MISSED</v>
      </c>
      <c r="F46" s="32" t="str">
        <f aca="false">IF(AND(F37&gt;0,F38&lt;0),"PAYMENT MISSED",IF(F31&lt;0,"Can't afford seeds",IF(F41&gt;F42,"Too many plots",IF(F20&gt;Inputs!$B$13,"Moonflower bed full",IF(F44&gt;F45,"Not enough hands",IF(OR(AND(F17&gt;0,F$15&lt;Inputs!$E$5),AND(F18&gt;0,F$15&lt;Inputs!$E$6),AND(F19&gt;0,F$15&lt;Inputs!$E$7),AND(F20&gt;0,F$15&lt;Inputs!$E$8)),"Crop not unlocked yet",IF(SUM($C21:F21)&gt;SUM($C28:F28),"Holding corn you don't have","OK")))))))</f>
        <v>Can't afford seeds</v>
      </c>
      <c r="G46" s="32" t="str">
        <f aca="false">IF(AND(G37&gt;0,G38&lt;0),"PAYMENT MISSED",IF(G31&lt;0,"Can't afford seeds",IF(G41&gt;G42,"Too many plots",IF(G20&gt;Inputs!$B$13,"Moonflower bed full",IF(G44&gt;G45,"Not enough hands",IF(OR(AND(G17&gt;0,G$15&lt;Inputs!$E$5),AND(G18&gt;0,G$15&lt;Inputs!$E$6),AND(G19&gt;0,G$15&lt;Inputs!$E$7),AND(G20&gt;0,G$15&lt;Inputs!$E$8)),"Crop not unlocked yet",IF(SUM($C21:G21)&gt;SUM($C28:G28),"Holding corn you don't have","OK")))))))</f>
        <v>OK</v>
      </c>
      <c r="H46" s="32" t="str">
        <f aca="false">IF(AND(H37&gt;0,H38&lt;0),"PAYMENT MISSED",IF(H31&lt;0,"Can't afford seeds",IF(H41&gt;H42,"Too many plots",IF(H20&gt;Inputs!$B$13,"Moonflower bed full",IF(H44&gt;H45,"Not enough hands",IF(OR(AND(H17&gt;0,H$15&lt;Inputs!$E$5),AND(H18&gt;0,H$15&lt;Inputs!$E$6),AND(H19&gt;0,H$15&lt;Inputs!$E$7),AND(H20&gt;0,H$15&lt;Inputs!$E$8)),"Crop not unlocked yet",IF(SUM($C21:H21)&gt;SUM($C28:H28),"Holding corn you don't have","OK")))))))</f>
        <v>OK</v>
      </c>
      <c r="I46" s="32" t="str">
        <f aca="false">IF(AND(I37&gt;0,I38&lt;0),"PAYMENT MISSED",IF(I31&lt;0,"Can't afford seeds",IF(I41&gt;I42,"Too many plots",IF(I20&gt;Inputs!$B$13,"Moonflower bed full",IF(I44&gt;I45,"Not enough hands",IF(OR(AND(I17&gt;0,I$15&lt;Inputs!$E$5),AND(I18&gt;0,I$15&lt;Inputs!$E$6),AND(I19&gt;0,I$15&lt;Inputs!$E$7),AND(I20&gt;0,I$15&lt;Inputs!$E$8)),"Crop not unlocked yet",IF(SUM($C21:I21)&gt;SUM($C28:I28),"Holding corn you don't have","OK")))))))</f>
        <v>OK</v>
      </c>
    </row>
  </sheetData>
  <mergeCells count="9"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conditionalFormatting sqref="C46:I46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conditionalFormatting sqref="C31:I31">
    <cfRule type="cellIs" priority="4" operator="lessThan" aboveAverage="0" equalAverage="0" bottom="0" percent="0" rank="0" text="" dxfId="2">
      <formula>0</formula>
    </cfRule>
  </conditionalFormatting>
  <conditionalFormatting sqref="C38:I38">
    <cfRule type="cellIs" priority="5" operator="lessThan" aboveAverage="0" equalAverage="0" bottom="0" percent="0" rank="0" text="" dxfId="2">
      <formula>0</formula>
    </cfRule>
  </conditionalFormatting>
  <conditionalFormatting sqref="C12">
    <cfRule type="expression" priority="6" aboveAverage="0" equalAverage="0" bottom="0" percent="0" rank="0" text="" dxfId="0">
      <formula>LEFT(C12,3)="WIN"</formula>
    </cfRule>
    <cfRule type="expression" priority="7" aboveAverage="0" equalAverage="0" bottom="0" percent="0" rank="0" text="" dxfId="3">
      <formula>C12="LOSS"</formula>
    </cfRule>
  </conditionalFormatting>
  <conditionalFormatting sqref="C8">
    <cfRule type="expression" priority="8" aboveAverage="0" equalAverage="0" bottom="0" percent="0" rank="0" text="" dxfId="3">
      <formula>LEFT(C8,6)="MISSED"</formula>
    </cfRule>
  </conditionalFormatting>
  <conditionalFormatting sqref="C9">
    <cfRule type="expression" priority="9" aboveAverage="0" equalAverage="0" bottom="0" percent="0" rank="0" text="" dxfId="3">
      <formula>LEFT(C9,6)="MISSED"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6" t="s">
        <v>112</v>
      </c>
    </row>
    <row r="2" customFormat="false" ht="15" hidden="false" customHeight="false" outlineLevel="0" collapsed="false">
      <c r="A2" s="7" t="s">
        <v>113</v>
      </c>
    </row>
    <row r="4" customFormat="false" ht="26.85" hidden="false" customHeight="false" outlineLevel="0" collapsed="false">
      <c r="A4" s="10" t="s">
        <v>21</v>
      </c>
      <c r="B4" s="10" t="s">
        <v>22</v>
      </c>
      <c r="C4" s="10" t="s">
        <v>114</v>
      </c>
      <c r="D4" s="10" t="s">
        <v>115</v>
      </c>
      <c r="E4" s="10" t="s">
        <v>116</v>
      </c>
      <c r="F4" s="10" t="s">
        <v>117</v>
      </c>
      <c r="G4" s="10" t="s">
        <v>118</v>
      </c>
    </row>
    <row r="5" customFormat="false" ht="15" hidden="false" customHeight="false" outlineLevel="0" collapsed="false">
      <c r="A5" s="33" t="str">
        <f aca="false">Inputs!A5</f>
        <v>Turnips</v>
      </c>
      <c r="B5" s="31" t="n">
        <f aca="false">Inputs!B5</f>
        <v>1</v>
      </c>
      <c r="C5" s="34" t="n">
        <f aca="false">Inputs!D5-Inputs!C5</f>
        <v>6</v>
      </c>
      <c r="D5" s="35" t="n">
        <f aca="false">IFERROR(C5/Inputs!C5,0)</f>
        <v>1.5</v>
      </c>
      <c r="E5" s="36" t="n">
        <f aca="false">IFERROR(C5/MAX(1,B5),0)</f>
        <v>6</v>
      </c>
      <c r="F5" s="37" t="n">
        <f aca="false">RANK(E5,$E$5:$E$8)</f>
        <v>4</v>
      </c>
      <c r="G5" s="7"/>
    </row>
    <row r="6" customFormat="false" ht="15" hidden="false" customHeight="false" outlineLevel="0" collapsed="false">
      <c r="A6" s="33" t="str">
        <f aca="false">Inputs!A6</f>
        <v>Pumpkins</v>
      </c>
      <c r="B6" s="31" t="n">
        <f aca="false">Inputs!B6</f>
        <v>2</v>
      </c>
      <c r="C6" s="34" t="n">
        <f aca="false">Inputs!D6-Inputs!C6</f>
        <v>15</v>
      </c>
      <c r="D6" s="35" t="n">
        <f aca="false">IFERROR(C6/Inputs!C6,0)</f>
        <v>1.5</v>
      </c>
      <c r="E6" s="36" t="n">
        <f aca="false">IFERROR(C6/MAX(1,B6),0)</f>
        <v>7.5</v>
      </c>
      <c r="F6" s="37" t="n">
        <f aca="false">RANK(E6,$E$5:$E$8)</f>
        <v>3</v>
      </c>
      <c r="G6" s="7"/>
    </row>
    <row r="7" customFormat="false" ht="15" hidden="false" customHeight="false" outlineLevel="0" collapsed="false">
      <c r="A7" s="33" t="str">
        <f aca="false">Inputs!A7</f>
        <v>Corn</v>
      </c>
      <c r="B7" s="31" t="n">
        <f aca="false">Inputs!B7</f>
        <v>3</v>
      </c>
      <c r="C7" s="34" t="n">
        <f aca="false">Inputs!D7-Inputs!C7</f>
        <v>30</v>
      </c>
      <c r="D7" s="35" t="n">
        <f aca="false">IFERROR(C7/Inputs!C7,0)</f>
        <v>2</v>
      </c>
      <c r="E7" s="36" t="n">
        <f aca="false">IFERROR(C7/MAX(1,B7),0)</f>
        <v>10</v>
      </c>
      <c r="F7" s="37" t="n">
        <f aca="false">RANK(E7,$E$5:$E$8)</f>
        <v>2</v>
      </c>
      <c r="G7" s="7" t="s">
        <v>119</v>
      </c>
    </row>
    <row r="8" customFormat="false" ht="15" hidden="false" customHeight="false" outlineLevel="0" collapsed="false">
      <c r="A8" s="33" t="str">
        <f aca="false">Inputs!A8</f>
        <v>Moonflowers</v>
      </c>
      <c r="B8" s="31" t="n">
        <f aca="false">Inputs!B8</f>
        <v>1</v>
      </c>
      <c r="C8" s="34" t="n">
        <f aca="false">Inputs!D8-Inputs!C8</f>
        <v>45</v>
      </c>
      <c r="D8" s="35" t="n">
        <f aca="false">IFERROR(C8/Inputs!C8,0)</f>
        <v>1.8</v>
      </c>
      <c r="E8" s="36" t="n">
        <f aca="false">IFERROR(C8/MAX(1,B8),0)</f>
        <v>45</v>
      </c>
      <c r="F8" s="37" t="n">
        <f aca="false">RANK(E8,$E$5:$E$8)</f>
        <v>1</v>
      </c>
      <c r="G8" s="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6" t="s">
        <v>121</v>
      </c>
    </row>
    <row r="2" customFormat="false" ht="15" hidden="false" customHeight="false" outlineLevel="0" collapsed="false">
      <c r="A2" s="7" t="s">
        <v>122</v>
      </c>
    </row>
    <row r="4" customFormat="false" ht="15" hidden="false" customHeight="false" outlineLevel="0" collapsed="false">
      <c r="A4" s="10"/>
      <c r="B4" s="10" t="s">
        <v>123</v>
      </c>
      <c r="C4" s="10" t="s">
        <v>124</v>
      </c>
      <c r="D4" s="10" t="s">
        <v>125</v>
      </c>
      <c r="E4" s="10" t="s">
        <v>118</v>
      </c>
    </row>
    <row r="5" customFormat="false" ht="15" hidden="false" customHeight="false" outlineLevel="0" collapsed="false">
      <c r="A5" s="11" t="s">
        <v>65</v>
      </c>
      <c r="B5" s="38" t="n">
        <f aca="false">Inputs!B34</f>
        <v>0.7</v>
      </c>
      <c r="C5" s="38" t="n">
        <f aca="false">Inputs!B35</f>
        <v>0.85</v>
      </c>
      <c r="D5" s="38" t="n">
        <f aca="false">Inputs!B36</f>
        <v>1</v>
      </c>
      <c r="E5" s="7" t="s">
        <v>126</v>
      </c>
    </row>
    <row r="6" customFormat="false" ht="15" hidden="false" customHeight="false" outlineLevel="0" collapsed="false">
      <c r="A6" s="11" t="s">
        <v>127</v>
      </c>
      <c r="B6" s="39" t="n">
        <f aca="false">Inputs!A34*Inputs!$B$14</f>
        <v>12</v>
      </c>
      <c r="C6" s="39" t="n">
        <f aca="false">Inputs!A35*Inputs!$B$14</f>
        <v>18</v>
      </c>
      <c r="D6" s="39" t="n">
        <f aca="false">Inputs!A36*Inputs!$B$14</f>
        <v>24</v>
      </c>
    </row>
    <row r="7" customFormat="false" ht="15" hidden="false" customHeight="false" outlineLevel="0" collapsed="false">
      <c r="A7" s="11" t="s">
        <v>128</v>
      </c>
      <c r="B7" s="39" t="n">
        <f aca="false">MIN(Inputs!$B$12,MAX(0,B6-Inputs!$B$13))</f>
        <v>8</v>
      </c>
      <c r="C7" s="39" t="n">
        <f aca="false">MIN(Inputs!$B$12,MAX(0,C6-Inputs!$B$13))</f>
        <v>14</v>
      </c>
      <c r="D7" s="39" t="n">
        <f aca="false">MIN(Inputs!$B$12,MAX(0,D6-Inputs!$B$13))</f>
        <v>16</v>
      </c>
      <c r="E7" s="7" t="s">
        <v>129</v>
      </c>
    </row>
    <row r="8" customFormat="false" ht="15" hidden="false" customHeight="false" outlineLevel="0" collapsed="false">
      <c r="A8" s="11" t="s">
        <v>130</v>
      </c>
      <c r="B8" s="29" t="n">
        <f aca="false">B7*(Inputs!$D$5-Inputs!$C$5)/Inputs!$B$5</f>
        <v>48</v>
      </c>
      <c r="C8" s="29" t="n">
        <f aca="false">C7*(Inputs!$D$5-Inputs!$C$5)/Inputs!$B$5</f>
        <v>84</v>
      </c>
      <c r="D8" s="29" t="n">
        <f aca="false">D7*(Inputs!$D$5-Inputs!$C$5)/Inputs!$B$5</f>
        <v>96</v>
      </c>
    </row>
    <row r="9" customFormat="false" ht="15" hidden="false" customHeight="false" outlineLevel="0" collapsed="false">
      <c r="A9" s="11" t="s">
        <v>131</v>
      </c>
      <c r="B9" s="29" t="n">
        <f aca="false">Inputs!$B$13*(Inputs!$D$8-Inputs!$C$8)</f>
        <v>180</v>
      </c>
      <c r="C9" s="29" t="n">
        <f aca="false">Inputs!$B$13*(Inputs!$D$8-Inputs!$C$8)</f>
        <v>180</v>
      </c>
      <c r="D9" s="29" t="n">
        <f aca="false">Inputs!$B$13*(Inputs!$D$8-Inputs!$C$8)</f>
        <v>180</v>
      </c>
      <c r="E9" s="7" t="s">
        <v>132</v>
      </c>
    </row>
    <row r="10" customFormat="false" ht="15" hidden="false" customHeight="false" outlineLevel="0" collapsed="false">
      <c r="A10" s="11" t="s">
        <v>49</v>
      </c>
      <c r="B10" s="29" t="n">
        <f aca="false">Inputs!$B$20*B5</f>
        <v>280</v>
      </c>
      <c r="C10" s="29" t="n">
        <f aca="false">Inputs!$B$20*C5</f>
        <v>340</v>
      </c>
      <c r="D10" s="29" t="n">
        <f aca="false">Inputs!$B$20*D5</f>
        <v>400</v>
      </c>
    </row>
    <row r="11" customFormat="false" ht="15" hidden="false" customHeight="false" outlineLevel="0" collapsed="false">
      <c r="A11" s="11" t="s">
        <v>80</v>
      </c>
      <c r="B11" s="29" t="n">
        <f aca="false">Inputs!$B$22*B5</f>
        <v>560</v>
      </c>
      <c r="C11" s="29" t="n">
        <f aca="false">Inputs!$B$22*C5</f>
        <v>680</v>
      </c>
      <c r="D11" s="29" t="n">
        <f aca="false">Inputs!$B$22*D5</f>
        <v>800</v>
      </c>
    </row>
    <row r="12" customFormat="false" ht="15" hidden="false" customHeight="false" outlineLevel="0" collapsed="false">
      <c r="A12" s="11" t="s">
        <v>133</v>
      </c>
      <c r="B12" s="29" t="n">
        <f aca="false">B10+B11</f>
        <v>840</v>
      </c>
      <c r="C12" s="29" t="n">
        <f aca="false">C10+C11</f>
        <v>1020</v>
      </c>
      <c r="D12" s="29" t="n">
        <f aca="false">D10+D11</f>
        <v>1200</v>
      </c>
    </row>
    <row r="13" customFormat="false" ht="15" hidden="false" customHeight="false" outlineLevel="0" collapsed="false">
      <c r="A13" s="11" t="s">
        <v>134</v>
      </c>
      <c r="B13" s="39" t="n">
        <f aca="false">MAX(0,7-Inputs!$E$8+1)</f>
        <v>5</v>
      </c>
      <c r="C13" s="39" t="n">
        <f aca="false">MAX(0,7-Inputs!$E$8+1)</f>
        <v>5</v>
      </c>
      <c r="D13" s="39" t="n">
        <f aca="false">MAX(0,7-Inputs!$E$8+1)</f>
        <v>5</v>
      </c>
      <c r="E13" s="7" t="s">
        <v>135</v>
      </c>
    </row>
    <row r="14" customFormat="false" ht="15" hidden="false" customHeight="false" outlineLevel="0" collapsed="false">
      <c r="A14" s="11" t="s">
        <v>136</v>
      </c>
      <c r="B14" s="40" t="n">
        <f aca="false">IFERROR(B9*B13/B12,0)</f>
        <v>1.07142857142857</v>
      </c>
      <c r="C14" s="40" t="n">
        <f aca="false">IFERROR(C9*C13/C12,0)</f>
        <v>0.882352941176471</v>
      </c>
      <c r="D14" s="40" t="n">
        <f aca="false">IFERROR(D9*D13/D12,0)</f>
        <v>0.75</v>
      </c>
      <c r="E14" s="7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2026-10-04T10:55:17Z</dcterms:created>
  <dc:creator>openpyxl</dc:creator>
  <dc:description/>
  <dc:language>en-US</dc:language>
  <cp:lastModifiedBy/>
  <dcterms:modified xsi:type="dcterms:W3CDTF">2026-10-04T10:55:17Z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